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onicon-Iroda\Desktop\"/>
    </mc:Choice>
  </mc:AlternateContent>
  <xr:revisionPtr revIDLastSave="0" documentId="13_ncr:1_{AA53105F-0A20-4C03-9626-62747BD88ADA}" xr6:coauthVersionLast="47" xr6:coauthVersionMax="47" xr10:uidLastSave="{00000000-0000-0000-0000-000000000000}"/>
  <bookViews>
    <workbookView xWindow="5535" yWindow="825" windowWidth="44730" windowHeight="21960" xr2:uid="{00000000-000D-0000-FFFF-FFFF00000000}"/>
  </bookViews>
  <sheets>
    <sheet name="Szállítólevél" sheetId="1" r:id="rId1"/>
    <sheet name="Specifikáció segédlet" sheetId="3" r:id="rId2"/>
  </sheets>
  <definedNames>
    <definedName name="_xlnm._FilterDatabase" localSheetId="1" hidden="1">'Specifikáció segédlet'!$A$1:$C$1</definedName>
    <definedName name="_xlnm.Print_Area" localSheetId="0">Szállítólevél!$B$2:$U$50</definedName>
  </definedNames>
  <calcPr calcId="191029"/>
  <customWorkbookViews>
    <customWorkbookView name="NYOMTATÁSI" guid="{DB707B7D-E1CE-4E55-B0B7-717385AF7E44}" maximized="1" xWindow="-9" yWindow="-9" windowWidth="1938" windowHeight="10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" l="1"/>
  <c r="L2" i="1"/>
  <c r="P35" i="1"/>
  <c r="P34" i="1"/>
  <c r="C35" i="1"/>
  <c r="C34" i="1"/>
  <c r="G34" i="1"/>
  <c r="G35" i="1"/>
  <c r="D35" i="1"/>
  <c r="D34" i="1"/>
  <c r="G33" i="1"/>
  <c r="D33" i="1"/>
  <c r="K36" i="1" l="1"/>
  <c r="N21" i="1"/>
  <c r="T36" i="1"/>
  <c r="N23" i="1" l="1"/>
  <c r="F41" i="1"/>
  <c r="Q46" i="1" l="1"/>
  <c r="Q45" i="1" s="1"/>
  <c r="G16" i="1"/>
  <c r="G15" i="1"/>
</calcChain>
</file>

<file path=xl/sharedStrings.xml><?xml version="1.0" encoding="utf-8"?>
<sst xmlns="http://schemas.openxmlformats.org/spreadsheetml/2006/main" count="87" uniqueCount="76">
  <si>
    <r>
      <rPr>
        <b/>
        <sz val="10"/>
        <rFont val="Calibri"/>
        <family val="2"/>
      </rPr>
      <t>Keletkezési hely</t>
    </r>
  </si>
  <si>
    <r>
      <rPr>
        <b/>
        <sz val="10"/>
        <rFont val="Calibri"/>
        <family val="2"/>
      </rPr>
      <t>Fogadó létesítmény</t>
    </r>
  </si>
  <si>
    <r>
      <rPr>
        <sz val="10"/>
        <rFont val="Calibri"/>
        <family val="2"/>
      </rPr>
      <t>Járatszám</t>
    </r>
    <r>
      <rPr>
        <vertAlign val="superscript"/>
        <sz val="10"/>
        <rFont val="Calibri"/>
        <family val="2"/>
      </rPr>
      <t>1</t>
    </r>
  </si>
  <si>
    <r>
      <rPr>
        <b/>
        <sz val="10"/>
        <rFont val="Calibri"/>
        <family val="2"/>
      </rPr>
      <t>Amennyiben létesítményből kerül kiszállításra</t>
    </r>
    <r>
      <rPr>
        <sz val="10"/>
        <rFont val="Calibri"/>
        <family val="2"/>
      </rPr>
      <t>:</t>
    </r>
  </si>
  <si>
    <r>
      <rPr>
        <sz val="10"/>
        <rFont val="Calibri"/>
        <family val="2"/>
      </rPr>
      <t>Átadó létesítmény címe</t>
    </r>
    <r>
      <rPr>
        <vertAlign val="superscript"/>
        <sz val="10"/>
        <rFont val="Calibri"/>
        <family val="2"/>
      </rPr>
      <t>2</t>
    </r>
  </si>
  <si>
    <r>
      <rPr>
        <sz val="10"/>
        <rFont val="Calibri"/>
        <family val="2"/>
      </rPr>
      <t>Fogadó létesítmény címe</t>
    </r>
    <r>
      <rPr>
        <vertAlign val="superscript"/>
        <sz val="10"/>
        <rFont val="Calibri"/>
        <family val="2"/>
      </rPr>
      <t>*</t>
    </r>
  </si>
  <si>
    <r>
      <rPr>
        <sz val="9"/>
        <rFont val="Calibri"/>
        <family val="2"/>
      </rPr>
      <t>1214 Budapest, Mag utca 3.</t>
    </r>
  </si>
  <si>
    <r>
      <rPr>
        <sz val="10"/>
        <rFont val="Calibri"/>
        <family val="2"/>
      </rPr>
      <t>Átadó létesítmény típusa</t>
    </r>
    <r>
      <rPr>
        <vertAlign val="superscript"/>
        <sz val="10"/>
        <rFont val="Calibri"/>
        <family val="2"/>
      </rPr>
      <t>2</t>
    </r>
  </si>
  <si>
    <r>
      <rPr>
        <sz val="10"/>
        <rFont val="Calibri"/>
        <family val="2"/>
      </rPr>
      <t>Fogadó létesítmény típusa</t>
    </r>
    <r>
      <rPr>
        <vertAlign val="superscript"/>
        <sz val="10"/>
        <rFont val="Calibri"/>
        <family val="2"/>
      </rPr>
      <t>*</t>
    </r>
  </si>
  <si>
    <r>
      <rPr>
        <sz val="9"/>
        <rFont val="Calibri"/>
        <family val="2"/>
      </rPr>
      <t>előkezelő</t>
    </r>
  </si>
  <si>
    <r>
      <rPr>
        <sz val="10"/>
        <rFont val="Calibri"/>
        <family val="2"/>
      </rPr>
      <t>Átadó létesítmény KTJ azonosítója</t>
    </r>
    <r>
      <rPr>
        <vertAlign val="superscript"/>
        <sz val="10"/>
        <rFont val="Calibri"/>
        <family val="2"/>
      </rPr>
      <t>2</t>
    </r>
  </si>
  <si>
    <r>
      <rPr>
        <sz val="10"/>
        <rFont val="Calibri"/>
        <family val="2"/>
      </rPr>
      <t>Fogadó létesítmény KTJ azonosítója</t>
    </r>
    <r>
      <rPr>
        <vertAlign val="superscript"/>
        <sz val="10"/>
        <rFont val="Calibri"/>
        <family val="2"/>
      </rPr>
      <t>*</t>
    </r>
  </si>
  <si>
    <r>
      <rPr>
        <sz val="9"/>
        <rFont val="Calibri"/>
        <family val="2"/>
      </rPr>
      <t>101 369 254</t>
    </r>
  </si>
  <si>
    <r>
      <rPr>
        <b/>
        <sz val="10"/>
        <rFont val="Calibri"/>
        <family val="2"/>
      </rPr>
      <t>Szállító partner</t>
    </r>
  </si>
  <si>
    <r>
      <rPr>
        <sz val="9"/>
        <rFont val="Calibri"/>
        <family val="2"/>
      </rPr>
      <t>Kappa Star Recycling Hungary Kft.</t>
    </r>
  </si>
  <si>
    <r>
      <rPr>
        <sz val="10"/>
        <rFont val="Calibri"/>
        <family val="2"/>
      </rPr>
      <t>Szállító jármű azonosítója (gk. rendszám)</t>
    </r>
    <r>
      <rPr>
        <vertAlign val="superscript"/>
        <sz val="10"/>
        <rFont val="Calibri"/>
        <family val="2"/>
      </rPr>
      <t>*</t>
    </r>
  </si>
  <si>
    <r>
      <rPr>
        <sz val="10"/>
        <rFont val="Calibri"/>
        <family val="2"/>
      </rPr>
      <t>Szállító jármű azonosítója (pótrendszám)</t>
    </r>
    <r>
      <rPr>
        <vertAlign val="superscript"/>
        <sz val="10"/>
        <rFont val="Calibri"/>
        <family val="2"/>
      </rPr>
      <t>3</t>
    </r>
  </si>
  <si>
    <r>
      <rPr>
        <sz val="10"/>
        <rFont val="Calibri"/>
        <family val="2"/>
      </rPr>
      <t>Szállítás célja</t>
    </r>
    <r>
      <rPr>
        <vertAlign val="superscript"/>
        <sz val="10"/>
        <rFont val="Calibri"/>
        <family val="2"/>
      </rPr>
      <t>*</t>
    </r>
  </si>
  <si>
    <r>
      <rPr>
        <sz val="9"/>
        <rFont val="Calibri"/>
        <family val="2"/>
      </rPr>
      <t>előkezelés</t>
    </r>
  </si>
  <si>
    <r>
      <rPr>
        <b/>
        <sz val="10"/>
        <rFont val="Calibri"/>
        <family val="2"/>
      </rPr>
      <t>Szállítás módja</t>
    </r>
    <r>
      <rPr>
        <b/>
        <vertAlign val="superscript"/>
        <sz val="10"/>
        <rFont val="Calibri"/>
        <family val="2"/>
      </rPr>
      <t>*</t>
    </r>
    <r>
      <rPr>
        <sz val="10"/>
        <rFont val="Calibri"/>
        <family val="2"/>
      </rPr>
      <t>:</t>
    </r>
  </si>
  <si>
    <r>
      <rPr>
        <b/>
        <sz val="10"/>
        <rFont val="Calibri"/>
        <family val="2"/>
      </rPr>
      <t>Szállítmány</t>
    </r>
  </si>
  <si>
    <r>
      <rPr>
        <sz val="10"/>
        <rFont val="Calibri"/>
        <family val="2"/>
      </rPr>
      <t>Megrendelés száma</t>
    </r>
    <r>
      <rPr>
        <vertAlign val="superscript"/>
        <sz val="10"/>
        <rFont val="Calibri"/>
        <family val="2"/>
      </rPr>
      <t>*</t>
    </r>
  </si>
  <si>
    <r>
      <rPr>
        <sz val="10"/>
        <rFont val="Calibri"/>
        <family val="2"/>
      </rPr>
      <t>Hulladék típusa (HAK)</t>
    </r>
    <r>
      <rPr>
        <vertAlign val="superscript"/>
        <sz val="10"/>
        <rFont val="Calibri"/>
        <family val="2"/>
      </rPr>
      <t>*</t>
    </r>
  </si>
  <si>
    <r>
      <rPr>
        <sz val="10"/>
        <rFont val="Calibri"/>
        <family val="2"/>
      </rPr>
      <t>Hulladék specifikációja (megnevezés)</t>
    </r>
    <r>
      <rPr>
        <vertAlign val="superscript"/>
        <sz val="10"/>
        <rFont val="Calibri"/>
        <family val="2"/>
      </rPr>
      <t>*</t>
    </r>
  </si>
  <si>
    <r>
      <rPr>
        <sz val="10"/>
        <rFont val="Calibri"/>
        <family val="2"/>
      </rPr>
      <t>Göngyöleg</t>
    </r>
  </si>
  <si>
    <r>
      <rPr>
        <sz val="10"/>
        <rFont val="Calibri"/>
        <family val="2"/>
      </rPr>
      <t>Hulladék mennyisége (nettó)</t>
    </r>
    <r>
      <rPr>
        <vertAlign val="superscript"/>
        <sz val="10"/>
        <rFont val="Calibri"/>
        <family val="2"/>
      </rPr>
      <t>*</t>
    </r>
  </si>
  <si>
    <r>
      <rPr>
        <sz val="10"/>
        <rFont val="Calibri"/>
        <family val="2"/>
      </rPr>
      <t>Megnevezés</t>
    </r>
    <r>
      <rPr>
        <vertAlign val="superscript"/>
        <sz val="10"/>
        <rFont val="Calibri"/>
        <family val="2"/>
      </rPr>
      <t>*</t>
    </r>
  </si>
  <si>
    <r>
      <rPr>
        <sz val="10"/>
        <rFont val="Calibri"/>
        <family val="2"/>
      </rPr>
      <t>Mennyiség</t>
    </r>
    <r>
      <rPr>
        <vertAlign val="superscript"/>
        <sz val="10"/>
        <rFont val="Calibri"/>
        <family val="2"/>
      </rPr>
      <t>*</t>
    </r>
  </si>
  <si>
    <r>
      <rPr>
        <b/>
        <sz val="10"/>
        <rFont val="Calibri"/>
        <family val="2"/>
      </rPr>
      <t>Név</t>
    </r>
  </si>
  <si>
    <r>
      <rPr>
        <b/>
        <sz val="10"/>
        <rFont val="Calibri"/>
        <family val="2"/>
      </rPr>
      <t>Aláírás</t>
    </r>
  </si>
  <si>
    <r>
      <rPr>
        <b/>
        <sz val="10"/>
        <rFont val="Calibri"/>
        <family val="2"/>
      </rPr>
      <t>Dátum</t>
    </r>
  </si>
  <si>
    <r>
      <rPr>
        <sz val="10"/>
        <rFont val="Calibri"/>
        <family val="2"/>
      </rPr>
      <t>Megrendelés dátuma</t>
    </r>
    <r>
      <rPr>
        <vertAlign val="superscript"/>
        <sz val="10"/>
        <rFont val="Calibri"/>
        <family val="2"/>
      </rPr>
      <t>*</t>
    </r>
  </si>
  <si>
    <r>
      <rPr>
        <sz val="10"/>
        <rFont val="Calibri"/>
        <family val="2"/>
      </rPr>
      <t>Teljesítés kelte</t>
    </r>
    <r>
      <rPr>
        <vertAlign val="superscript"/>
        <sz val="10"/>
        <rFont val="Calibri"/>
        <family val="2"/>
      </rPr>
      <t>*</t>
    </r>
  </si>
  <si>
    <r>
      <rPr>
        <b/>
        <sz val="10"/>
        <rFont val="Calibri"/>
        <family val="2"/>
      </rPr>
      <t>Kitöltési útmutató</t>
    </r>
  </si>
  <si>
    <r>
      <rPr>
        <vertAlign val="superscript"/>
        <sz val="9"/>
        <rFont val="Calibri"/>
        <family val="2"/>
      </rPr>
      <t>*</t>
    </r>
    <r>
      <rPr>
        <sz val="9"/>
        <rFont val="Calibri"/>
        <family val="2"/>
      </rPr>
      <t xml:space="preserve"> kötelezően kitöltendő
</t>
    </r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hulladék begyűjtés esetén kötelezően kitöltendő
</t>
    </r>
    <r>
      <rPr>
        <vertAlign val="superscript"/>
        <sz val="9"/>
        <rFont val="Calibri"/>
        <family val="2"/>
      </rPr>
      <t>2</t>
    </r>
    <r>
      <rPr>
        <sz val="9"/>
        <rFont val="Calibri"/>
        <family val="2"/>
      </rPr>
      <t xml:space="preserve"> létesítmények közötti szállítás esetén kötelezően kitöltendő
</t>
    </r>
    <r>
      <rPr>
        <vertAlign val="superscript"/>
        <sz val="9"/>
        <rFont val="Calibri"/>
        <family val="2"/>
      </rPr>
      <t>3</t>
    </r>
    <r>
      <rPr>
        <sz val="9"/>
        <rFont val="Calibri"/>
        <family val="2"/>
      </rPr>
      <t xml:space="preserve"> pótkocsis szállítás esetén kötelezően kitöltendő</t>
    </r>
  </si>
  <si>
    <r>
      <rPr>
        <sz val="10"/>
        <rFont val="Calibri"/>
        <family val="2"/>
      </rPr>
      <t>Hulladék keletkezési helye</t>
    </r>
    <r>
      <rPr>
        <vertAlign val="superscript"/>
        <sz val="10"/>
        <rFont val="Calibri"/>
        <family val="2"/>
      </rPr>
      <t xml:space="preserve">*
</t>
    </r>
    <r>
      <rPr>
        <sz val="10"/>
        <rFont val="Calibri"/>
        <family val="2"/>
      </rPr>
      <t>(cég név)</t>
    </r>
  </si>
  <si>
    <r>
      <t>Hulladék keletkezési helye</t>
    </r>
    <r>
      <rPr>
        <vertAlign val="superscript"/>
        <sz val="10"/>
        <rFont val="Calibri"/>
        <family val="2"/>
      </rPr>
      <t xml:space="preserve">*
</t>
    </r>
    <r>
      <rPr>
        <sz val="10"/>
        <rFont val="Calibri"/>
        <family val="2"/>
      </rPr>
      <t>(település név)</t>
    </r>
  </si>
  <si>
    <t>Szállítólevél</t>
  </si>
  <si>
    <t>Példány: …... / 4</t>
  </si>
  <si>
    <t>1214 Budapest, Mag utca 3.</t>
  </si>
  <si>
    <t>Kappa Star Recycling Hungary Kft.</t>
  </si>
  <si>
    <r>
      <t>Fogadó létesítmény neve</t>
    </r>
    <r>
      <rPr>
        <vertAlign val="superscript"/>
        <sz val="10"/>
        <rFont val="Calibri"/>
        <family val="2"/>
      </rPr>
      <t>*</t>
    </r>
    <r>
      <rPr>
        <sz val="10"/>
        <rFont val="Calibri"/>
        <family val="2"/>
      </rPr>
      <t xml:space="preserve">            </t>
    </r>
  </si>
  <si>
    <r>
      <t>Mennyiség egység (kg/t/db)</t>
    </r>
    <r>
      <rPr>
        <vertAlign val="superscript"/>
        <sz val="10"/>
        <rFont val="Calibri"/>
        <family val="2"/>
      </rPr>
      <t>*</t>
    </r>
  </si>
  <si>
    <r>
      <rPr>
        <sz val="10"/>
        <rFont val="Webdings"/>
        <family val="1"/>
        <charset val="2"/>
      </rPr>
      <t>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  <scheme val="minor"/>
      </rPr>
      <t>Begyűjtés</t>
    </r>
    <r>
      <rPr>
        <sz val="10"/>
        <rFont val="Times New Roman"/>
        <family val="1"/>
      </rPr>
      <t xml:space="preserve"> </t>
    </r>
    <r>
      <rPr>
        <sz val="10"/>
        <rFont val="Wingdings 2"/>
        <family val="1"/>
      </rPr>
      <t>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>Áttárolás</t>
    </r>
  </si>
  <si>
    <r>
      <rPr>
        <b/>
        <sz val="9"/>
        <rFont val="Calibri"/>
        <family val="2"/>
      </rPr>
      <t>Szállítólevél azonosítója</t>
    </r>
    <r>
      <rPr>
        <sz val="9"/>
        <rFont val="Calibri"/>
        <family val="2"/>
      </rPr>
      <t xml:space="preserve">: amennyiben az eddigiekben alkalmazott szállítólevelet továbbra is alkalmazni fogják, kérjük annak
a sorszámát tüntessék fel ezen a dokumentumon! A két dokumentum összetűzve, együttesen érvényes!
Amennyiben  ezen  dokumentum  kiváltja  az  eddigiekben  alkalmazott  szállítólevelet,  kérjük  az  alábbi  módszer  szerint számozzák:
régiókód / alvállalkozó rövidített neve / év / hónap / futósorszám pl. </t>
    </r>
    <r>
      <rPr>
        <i/>
        <sz val="9"/>
        <rFont val="Calibri"/>
        <family val="2"/>
      </rPr>
      <t xml:space="preserve">TT / ÉAK / 2023 / 07 / 00001
ÉD / GYHG / 2023 / 07 / 00001
</t>
    </r>
    <r>
      <rPr>
        <b/>
        <sz val="9"/>
        <rFont val="Calibri"/>
        <family val="2"/>
      </rPr>
      <t>Létesítmény típusa</t>
    </r>
    <r>
      <rPr>
        <sz val="9"/>
        <rFont val="Calibri"/>
        <family val="2"/>
      </rPr>
      <t xml:space="preserve">: a létesítményt leginkább leíró létesítmény típus megnevezése
pl. átrakó állomás / előkezelő / hulladékudvar / hasznosító / ártalmatlanító / gyűjtőhely / MÉH telep
</t>
    </r>
    <r>
      <rPr>
        <b/>
        <sz val="9"/>
        <rFont val="Calibri"/>
        <family val="2"/>
      </rPr>
      <t>Létesítmény KTJ azonosítója</t>
    </r>
    <r>
      <rPr>
        <sz val="9"/>
        <rFont val="Calibri"/>
        <family val="2"/>
      </rPr>
      <t xml:space="preserve">: környezetvédelmi területi jel
a cég adott  telephelyére vonatkozó  azonosító  szám; több telephely esetén minden egyes telephelyre külön KTJ számot szükséges igényelni a Hulladékgazdálkodási hatóságtól; a  KTJ szám alapján lehet beazonosítani a szóban forgó területet/telephelyet
</t>
    </r>
    <r>
      <rPr>
        <b/>
        <sz val="9"/>
        <rFont val="Calibri"/>
        <family val="2"/>
      </rPr>
      <t>Szállítás célja</t>
    </r>
    <r>
      <rPr>
        <sz val="9"/>
        <rFont val="Calibri"/>
        <family val="2"/>
      </rPr>
      <t xml:space="preserve">:
pl. átrakás / előkezelés / tárolás / utóválogatás / mechanikai kezelés (MH) / mechanikai és biológiai kezelés (MBH)
/  előkezelt  hulladék  további  előkezelése  telephelyen  kívül  /  veszélyes  hulladék  gyűjtés,  tárolás  /  energetikai hasznosítás  /  komposztálás  /  rothasztás  /  egyéb,  közelebbről  meg  nem  határozott  újrafeldolgozási  művelet  / újrahasználatra való előkészítés / veszélyes hulladék átvétele kezelésre, ártalmatlanításra / lerakás
</t>
    </r>
    <r>
      <rPr>
        <b/>
        <sz val="9"/>
        <rFont val="Calibri"/>
        <family val="2"/>
      </rPr>
      <t>Szállítás módja</t>
    </r>
    <r>
      <rPr>
        <sz val="9"/>
        <rFont val="Calibri"/>
        <family val="2"/>
      </rPr>
      <t xml:space="preserve">: Begyűjtés / Áttárolás; X beírása a megfelelő négyzetbe
</t>
    </r>
    <r>
      <rPr>
        <b/>
        <sz val="9"/>
        <rFont val="Calibri"/>
        <family val="2"/>
      </rPr>
      <t>Begyűjtés</t>
    </r>
    <r>
      <rPr>
        <sz val="9"/>
        <rFont val="Calibri"/>
        <family val="2"/>
      </rPr>
      <t xml:space="preserve">: a szállítmány közvetlenül a hulladéktermelőtől érkezik, nem egy regisztrált létesítményből pl. hulladék begyűjtés lakosságtól / intézménytől az első létesítményig
</t>
    </r>
    <r>
      <rPr>
        <b/>
        <sz val="9"/>
        <rFont val="Calibri"/>
        <family val="2"/>
      </rPr>
      <t>Áttárolás</t>
    </r>
    <r>
      <rPr>
        <sz val="9"/>
        <rFont val="Calibri"/>
        <family val="2"/>
      </rPr>
      <t xml:space="preserve">: a szállítmány egy szerződött létesítmény üzemeltető partnertől érkezik, pl. hulladékudvarból
</t>
    </r>
    <r>
      <rPr>
        <b/>
        <sz val="9"/>
        <rFont val="Calibri"/>
        <family val="2"/>
      </rPr>
      <t>Közvetlen beszállítás esetén a hulladék eredete</t>
    </r>
    <r>
      <rPr>
        <sz val="9"/>
        <rFont val="Calibri"/>
        <family val="2"/>
      </rPr>
      <t xml:space="preserve">: X beírása a megfelelő négyzetbe
</t>
    </r>
    <r>
      <rPr>
        <b/>
        <sz val="9"/>
        <rFont val="Calibri"/>
        <family val="2"/>
      </rPr>
      <t>Lakossági közszolgáltatói résztevékenység</t>
    </r>
    <r>
      <rPr>
        <sz val="9"/>
        <rFont val="Calibri"/>
        <family val="2"/>
      </rPr>
      <t xml:space="preserve">: lakosságtól a közszolgáltatási résztevékenységben begyűjtött hulladék (régiókoordinátorok és alvállalkozóik)
</t>
    </r>
    <r>
      <rPr>
        <b/>
        <sz val="9"/>
        <rFont val="Calibri"/>
        <family val="2"/>
      </rPr>
      <t>Intézményi   közszolgáltatói   résztevékenység</t>
    </r>
    <r>
      <rPr>
        <sz val="9"/>
        <rFont val="Calibri"/>
        <family val="2"/>
      </rPr>
      <t xml:space="preserve">:  gazdálkodó   szervezettől   a   közszolgáltatási   résztevékenységben begyűjtött  hulladék  (gazdálkodó  szervezettől  vegyes,  illetve  az  elkülönített  hulladék  tekintetében  1100  literes edényzetig régiókoordinátorok és alvállalkozóik által begyűjtött hulladék)
</t>
    </r>
    <r>
      <rPr>
        <b/>
        <sz val="9"/>
        <rFont val="Calibri"/>
        <family val="2"/>
      </rPr>
      <t>Lakossági intézményi résztevékenység</t>
    </r>
    <r>
      <rPr>
        <sz val="9"/>
        <rFont val="Calibri"/>
        <family val="2"/>
      </rPr>
      <t xml:space="preserve">: lakosságtól az intézményi résztevékenységben begyűjtött hulladék (DRS) </t>
    </r>
    <r>
      <rPr>
        <b/>
        <sz val="9"/>
        <rFont val="Calibri"/>
        <family val="2"/>
      </rPr>
      <t>Intézményi intézményi résztevékenység</t>
    </r>
    <r>
      <rPr>
        <sz val="9"/>
        <rFont val="Calibri"/>
        <family val="2"/>
      </rPr>
      <t xml:space="preserve">: gazdálkodó szervezetektől intézményi alvállalkozó partnerek által begyűjtött hulladék, ami nem esik az intézményi közszolgáltatási eredetkategóriába (jellemzően gazdálkodó szervezetek 1100 literes edényméreten felül begyűjtött elkülönítetten gyűjtött hulladéka) </t>
    </r>
    <r>
      <rPr>
        <b/>
        <sz val="9"/>
        <rFont val="Calibri"/>
        <family val="2"/>
      </rPr>
      <t>Összevont résztevékenység</t>
    </r>
    <r>
      <rPr>
        <sz val="9"/>
        <rFont val="Calibri"/>
        <family val="2"/>
      </rPr>
      <t xml:space="preserve">: amennyiben a lakossági elkülönítetten gyűjtött hulladék és a gazdálkodó szervezetek elkülönítetten  gyűjtött  hulladéka  (1100  liter  vagy  az  alatti  mennyiségben)  egy  járatban, egyszerre,  összevontan </t>
    </r>
  </si>
  <si>
    <t>került  begyűjtésre  a  régiókoordinátor  és  alvállalkozói  által,  ezt  a  kategóriát kérjük választani.</t>
  </si>
  <si>
    <t>15 01 02</t>
  </si>
  <si>
    <t>Műanyag csomagolás hulladéka (EPR)</t>
  </si>
  <si>
    <t>-</t>
  </si>
  <si>
    <t>ömlesztett</t>
  </si>
  <si>
    <r>
      <rPr>
        <b/>
        <sz val="10"/>
        <rFont val="Times New Roman"/>
        <family val="1"/>
      </rPr>
      <t>Begyűjtés esetén a hulladék eredete</t>
    </r>
    <r>
      <rPr>
        <sz val="10"/>
        <rFont val="Times New Roman"/>
        <family val="1"/>
      </rPr>
      <t>:
 Lakossági közszolgáltatói résztevékenység
 Intézményi közszolgáltatói résztevékenység
 Lakossági intézményi résztevékenység
</t>
    </r>
    <r>
      <rPr>
        <vertAlign val="superscript"/>
        <sz val="9"/>
        <rFont val="Times New Roman"/>
        <family val="1"/>
      </rPr>
      <t xml:space="preserve"> </t>
    </r>
    <r>
      <rPr>
        <sz val="10"/>
        <rFont val="Times New Roman"/>
        <family val="1"/>
      </rPr>
      <t xml:space="preserve">Intézményi intézményi résztevékenység                          Összevont résztevékenység 
 Illegális  
 Köztisztasági  
 Minőségi kifogás okán visszaszállított </t>
    </r>
  </si>
  <si>
    <r>
      <rPr>
        <b/>
        <sz val="10"/>
        <rFont val="Times New Roman"/>
        <family val="1"/>
      </rPr>
      <t xml:space="preserve">Begyűjtés esetén a gyűjtés módja:       </t>
    </r>
    <r>
      <rPr>
        <sz val="10"/>
        <rFont val="Times New Roman"/>
        <family val="1"/>
      </rPr>
      <t xml:space="preserve">                                                                          Vegyes gyűjtés 
 Házhoz menő elkülönített gyűjtés                                                                                     Hulladékgyűjtő sziget  
 Egyéb gyűjtőhely 
 EPR egyéni teljesítő 
 Lomtalanítás 
 DRS  </t>
    </r>
  </si>
  <si>
    <t>mint Megbízó                                                                                                                 1117 Budapest, Galvani utca 44.                                                                                   Adószám: 32082230-2-43</t>
  </si>
  <si>
    <t>Átvevő:</t>
  </si>
  <si>
    <t>MOHU Zrt-vel szerződött szállító partner neve:</t>
  </si>
  <si>
    <t>MOHU Zrt-vel szerződött szállító partner székhelye:</t>
  </si>
  <si>
    <t>Szállító partner közreműködő neve:</t>
  </si>
  <si>
    <t>Szállító partner közreműködő székhelye:</t>
  </si>
  <si>
    <t>LDPE fólia hulladék natúr 80/20 ömlesztett intézményi</t>
  </si>
  <si>
    <t>Átadó/Szállító:</t>
  </si>
  <si>
    <t>Megnevezés*</t>
  </si>
  <si>
    <t>Hulladék specifikációja (megnevezés)*</t>
  </si>
  <si>
    <t>Hulladék típusa (HAK)*</t>
  </si>
  <si>
    <t>Papír hulladék reklámhordozó öml int</t>
  </si>
  <si>
    <t>Reklámhordozó papír hulladéka (EPR)</t>
  </si>
  <si>
    <t>20 01 01</t>
  </si>
  <si>
    <t>Papír hulladék vegyes ömlesztett, intézményi</t>
  </si>
  <si>
    <t>Települési hulladékok</t>
  </si>
  <si>
    <t>Papír és karton csomagolás hulladéka (EPR)</t>
  </si>
  <si>
    <t>15 01 01</t>
  </si>
  <si>
    <t>Papír hulladék hullámkarton ömlesztett intézményi</t>
  </si>
  <si>
    <t>LDPE fólia hulladék színes 60/40 ömlesztett intézményi</t>
  </si>
  <si>
    <t>LDPE fólia hulladék natúr 95/5 ömlesztett intézményi</t>
  </si>
  <si>
    <t>MAGMA Kft.</t>
  </si>
  <si>
    <t>1211 Budapest, Déli utca 13.</t>
  </si>
  <si>
    <t>IIH-493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</si>
</sst>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zállítólevél kelte*: &quot;yyyy/mm/dd/"/>
    <numFmt numFmtId="165" formatCode="&quot;Szállítólevél azonosítója*: KSRH/2023-07/&quot;0000"/>
    <numFmt numFmtId="166" formatCode="yyyy\-mm\-dd;@"/>
    <numFmt numFmtId="167" formatCode="00000"/>
    <numFmt numFmtId="168" formatCode="&quot;Szállítólevél azonosítója*: MGMA/&quot;yyyy\-mm&quot;/&quot;"/>
  </numFmts>
  <fonts count="29">
    <font>
      <sz val="10"/>
      <color rgb="FF000000"/>
      <name val="Times New Roman"/>
      <charset val="204"/>
    </font>
    <font>
      <sz val="11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vertAlign val="superscript"/>
      <sz val="10"/>
      <name val="Calibri"/>
      <family val="2"/>
    </font>
    <font>
      <sz val="10"/>
      <name val="Wingdings 2"/>
      <family val="1"/>
    </font>
    <font>
      <sz val="10"/>
      <name val="Times New Roman"/>
      <family val="1"/>
    </font>
    <font>
      <b/>
      <vertAlign val="superscript"/>
      <sz val="10"/>
      <name val="Calibri"/>
      <family val="2"/>
    </font>
    <font>
      <vertAlign val="superscript"/>
      <sz val="9"/>
      <name val="Calibri"/>
      <family val="2"/>
    </font>
    <font>
      <b/>
      <sz val="9"/>
      <name val="Calibri"/>
      <family val="2"/>
    </font>
    <font>
      <i/>
      <sz val="9"/>
      <name val="Calibri"/>
      <family val="2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name val="Calibri"/>
      <family val="2"/>
      <scheme val="minor"/>
    </font>
    <font>
      <sz val="10"/>
      <name val="Webdings"/>
      <family val="1"/>
      <charset val="2"/>
    </font>
    <font>
      <sz val="10"/>
      <name val="Times New Roman"/>
      <family val="1"/>
      <charset val="2"/>
    </font>
    <font>
      <sz val="9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b/>
      <sz val="8"/>
      <name val="Calibri"/>
      <family val="2"/>
    </font>
    <font>
      <b/>
      <sz val="10"/>
      <color theme="0"/>
      <name val="Arial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3" fillId="0" borderId="0"/>
  </cellStyleXfs>
  <cellXfs count="126">
    <xf numFmtId="0" fontId="0" fillId="0" borderId="0" xfId="0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top"/>
    </xf>
    <xf numFmtId="0" fontId="18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0" fontId="2" fillId="2" borderId="0" xfId="0" applyFont="1" applyFill="1" applyAlignment="1">
      <alignment wrapText="1"/>
    </xf>
    <xf numFmtId="165" fontId="0" fillId="2" borderId="0" xfId="0" applyNumberFormat="1" applyFill="1" applyAlignment="1">
      <alignment horizontal="right"/>
    </xf>
    <xf numFmtId="167" fontId="23" fillId="2" borderId="0" xfId="0" applyNumberFormat="1" applyFont="1" applyFill="1" applyAlignment="1">
      <alignment horizontal="left"/>
    </xf>
    <xf numFmtId="0" fontId="22" fillId="0" borderId="0" xfId="0" applyFont="1" applyAlignment="1">
      <alignment horizontal="left" vertical="top"/>
    </xf>
    <xf numFmtId="0" fontId="18" fillId="2" borderId="1" xfId="0" applyFont="1" applyFill="1" applyBorder="1" applyAlignment="1">
      <alignment horizontal="center" vertical="center" wrapText="1"/>
    </xf>
    <xf numFmtId="164" fontId="16" fillId="2" borderId="0" xfId="0" applyNumberFormat="1" applyFont="1" applyFill="1" applyAlignment="1">
      <alignment wrapText="1"/>
    </xf>
    <xf numFmtId="0" fontId="13" fillId="0" borderId="0" xfId="0" applyFont="1" applyAlignment="1">
      <alignment horizontal="left" vertical="top"/>
    </xf>
    <xf numFmtId="0" fontId="27" fillId="4" borderId="0" xfId="0" applyFont="1" applyFill="1" applyAlignment="1">
      <alignment horizontal="left" vertical="top"/>
    </xf>
    <xf numFmtId="167" fontId="23" fillId="0" borderId="0" xfId="0" applyNumberFormat="1" applyFont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13" fillId="2" borderId="8" xfId="0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13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5" fillId="2" borderId="0" xfId="0" applyFont="1" applyFill="1" applyAlignment="1">
      <alignment horizontal="center" wrapText="1"/>
    </xf>
    <xf numFmtId="164" fontId="16" fillId="0" borderId="0" xfId="0" applyNumberFormat="1" applyFont="1" applyAlignment="1">
      <alignment horizontal="left" wrapText="1"/>
    </xf>
    <xf numFmtId="0" fontId="17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" fillId="2" borderId="1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3" fillId="2" borderId="8" xfId="2" applyFill="1" applyBorder="1" applyAlignment="1">
      <alignment horizontal="left" vertical="top" wrapText="1"/>
    </xf>
    <xf numFmtId="0" fontId="13" fillId="2" borderId="9" xfId="2" applyFill="1" applyBorder="1" applyAlignment="1">
      <alignment horizontal="left" vertical="top" wrapText="1"/>
    </xf>
    <xf numFmtId="0" fontId="13" fillId="2" borderId="10" xfId="2" applyFill="1" applyBorder="1" applyAlignment="1">
      <alignment horizontal="left" vertical="top" wrapText="1"/>
    </xf>
    <xf numFmtId="164" fontId="26" fillId="2" borderId="0" xfId="0" applyNumberFormat="1" applyFont="1" applyFill="1" applyAlignment="1">
      <alignment horizontal="left" vertical="top" wrapText="1"/>
    </xf>
    <xf numFmtId="0" fontId="0" fillId="2" borderId="8" xfId="0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0" fillId="2" borderId="0" xfId="0" applyFill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top" wrapText="1" indent="1"/>
    </xf>
    <xf numFmtId="0" fontId="13" fillId="2" borderId="0" xfId="0" applyFont="1" applyFill="1" applyAlignment="1">
      <alignment horizontal="left" vertical="top" wrapText="1" indent="1"/>
    </xf>
    <xf numFmtId="0" fontId="8" fillId="2" borderId="0" xfId="0" applyFont="1" applyFill="1" applyAlignment="1">
      <alignment horizontal="left" vertical="top" wrapText="1" indent="6"/>
    </xf>
    <xf numFmtId="0" fontId="13" fillId="2" borderId="0" xfId="0" applyFont="1" applyFill="1" applyAlignment="1">
      <alignment horizontal="left" vertical="top" wrapText="1" indent="6"/>
    </xf>
    <xf numFmtId="0" fontId="3" fillId="2" borderId="3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center" wrapText="1" indent="2"/>
    </xf>
    <xf numFmtId="0" fontId="4" fillId="2" borderId="4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168" fontId="28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168" fontId="23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left" wrapText="1"/>
    </xf>
    <xf numFmtId="166" fontId="0" fillId="2" borderId="8" xfId="0" applyNumberFormat="1" applyFill="1" applyBorder="1" applyAlignment="1">
      <alignment horizontal="left" wrapText="1"/>
    </xf>
    <xf numFmtId="166" fontId="0" fillId="2" borderId="9" xfId="0" applyNumberFormat="1" applyFill="1" applyBorder="1" applyAlignment="1">
      <alignment horizontal="left" wrapText="1"/>
    </xf>
    <xf numFmtId="166" fontId="0" fillId="2" borderId="10" xfId="0" applyNumberFormat="1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166" fontId="13" fillId="0" borderId="8" xfId="0" applyNumberFormat="1" applyFont="1" applyBorder="1" applyAlignment="1">
      <alignment horizontal="left" wrapText="1"/>
    </xf>
    <xf numFmtId="166" fontId="13" fillId="0" borderId="9" xfId="0" applyNumberFormat="1" applyFont="1" applyBorder="1" applyAlignment="1">
      <alignment horizontal="left" wrapText="1"/>
    </xf>
    <xf numFmtId="166" fontId="13" fillId="0" borderId="10" xfId="0" applyNumberFormat="1" applyFont="1" applyBorder="1" applyAlignment="1">
      <alignment horizontal="left" wrapText="1"/>
    </xf>
    <xf numFmtId="0" fontId="3" fillId="2" borderId="13" xfId="0" applyFont="1" applyFill="1" applyBorder="1" applyAlignment="1">
      <alignment horizontal="center" vertical="top" wrapText="1"/>
    </xf>
  </cellXfs>
  <cellStyles count="3">
    <cellStyle name="Normál" xfId="0" builtinId="0"/>
    <cellStyle name="Normál 2" xfId="1" xr:uid="{00000000-0005-0000-0000-000001000000}"/>
    <cellStyle name="Normá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312419</xdr:colOff>
      <xdr:row>1</xdr:row>
      <xdr:rowOff>38100</xdr:rowOff>
    </xdr:from>
    <xdr:ext cx="3368041" cy="1014974"/>
    <xdr:pic>
      <xdr:nvPicPr>
        <xdr:cNvPr id="4" name="Kép 3">
          <a:extLst>
            <a:ext uri="{FF2B5EF4-FFF2-40B4-BE49-F238E27FC236}">
              <a16:creationId xmlns:a16="http://schemas.microsoft.com/office/drawing/2014/main" id="{15F01B2B-341D-4EA0-B617-6323A4E51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21"/>
        <a:stretch/>
      </xdr:blipFill>
      <xdr:spPr>
        <a:xfrm>
          <a:off x="914399" y="205740"/>
          <a:ext cx="3368041" cy="1014974"/>
        </a:xfrm>
        <a:prstGeom prst="rect">
          <a:avLst/>
        </a:prstGeom>
      </xdr:spPr>
    </xdr:pic>
    <xdr:clientData/>
  </xdr:oneCellAnchor>
  <xdr:twoCellAnchor editAs="oneCell">
    <xdr:from>
      <xdr:col>2</xdr:col>
      <xdr:colOff>83820</xdr:colOff>
      <xdr:row>28</xdr:row>
      <xdr:rowOff>723900</xdr:rowOff>
    </xdr:from>
    <xdr:to>
      <xdr:col>2</xdr:col>
      <xdr:colOff>243840</xdr:colOff>
      <xdr:row>28</xdr:row>
      <xdr:rowOff>857250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33C55DDA-ED9F-41E6-B746-2BB364319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8333" b="17333"/>
        <a:stretch/>
      </xdr:blipFill>
      <xdr:spPr>
        <a:xfrm>
          <a:off x="518160" y="7414260"/>
          <a:ext cx="167640" cy="121920"/>
        </a:xfrm>
        <a:prstGeom prst="rect">
          <a:avLst/>
        </a:prstGeom>
      </xdr:spPr>
    </xdr:pic>
    <xdr:clientData/>
  </xdr:twoCellAnchor>
  <xdr:oneCellAnchor>
    <xdr:from>
      <xdr:col>2</xdr:col>
      <xdr:colOff>7619</xdr:colOff>
      <xdr:row>35</xdr:row>
      <xdr:rowOff>15240</xdr:rowOff>
    </xdr:from>
    <xdr:ext cx="3368041" cy="1014974"/>
    <xdr:pic>
      <xdr:nvPicPr>
        <xdr:cNvPr id="7" name="Kép 6">
          <a:extLst>
            <a:ext uri="{FF2B5EF4-FFF2-40B4-BE49-F238E27FC236}">
              <a16:creationId xmlns:a16="http://schemas.microsoft.com/office/drawing/2014/main" id="{25DA647B-65D1-4DD2-9CED-489365BDF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21"/>
        <a:stretch/>
      </xdr:blipFill>
      <xdr:spPr>
        <a:xfrm>
          <a:off x="1051559" y="190500"/>
          <a:ext cx="3368041" cy="1014974"/>
        </a:xfrm>
        <a:prstGeom prst="rect">
          <a:avLst/>
        </a:prstGeom>
      </xdr:spPr>
    </xdr:pic>
    <xdr:clientData/>
  </xdr:oneCellAnchor>
  <xdr:oneCellAnchor>
    <xdr:from>
      <xdr:col>1</xdr:col>
      <xdr:colOff>327659</xdr:colOff>
      <xdr:row>35</xdr:row>
      <xdr:rowOff>38100</xdr:rowOff>
    </xdr:from>
    <xdr:ext cx="3368041" cy="1014974"/>
    <xdr:pic>
      <xdr:nvPicPr>
        <xdr:cNvPr id="10" name="Kép 9">
          <a:extLst>
            <a:ext uri="{FF2B5EF4-FFF2-40B4-BE49-F238E27FC236}">
              <a16:creationId xmlns:a16="http://schemas.microsoft.com/office/drawing/2014/main" id="{E177B489-FC18-4FEA-8B2B-14604DD58B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21"/>
        <a:stretch/>
      </xdr:blipFill>
      <xdr:spPr>
        <a:xfrm>
          <a:off x="929639" y="11612880"/>
          <a:ext cx="3368041" cy="1014974"/>
        </a:xfrm>
        <a:prstGeom prst="rect">
          <a:avLst/>
        </a:prstGeom>
      </xdr:spPr>
    </xdr:pic>
    <xdr:clientData/>
  </xdr:oneCellAnchor>
  <xdr:twoCellAnchor editAs="oneCell">
    <xdr:from>
      <xdr:col>2</xdr:col>
      <xdr:colOff>83820</xdr:colOff>
      <xdr:row>28</xdr:row>
      <xdr:rowOff>723900</xdr:rowOff>
    </xdr:from>
    <xdr:to>
      <xdr:col>2</xdr:col>
      <xdr:colOff>243840</xdr:colOff>
      <xdr:row>28</xdr:row>
      <xdr:rowOff>857250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5A6AF5E-BC6C-45B2-9EDE-D8CA9E44D0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8333" b="17333"/>
        <a:stretch/>
      </xdr:blipFill>
      <xdr:spPr>
        <a:xfrm>
          <a:off x="1120140" y="7597140"/>
          <a:ext cx="167640" cy="121920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28</xdr:row>
      <xdr:rowOff>693420</xdr:rowOff>
    </xdr:from>
    <xdr:to>
      <xdr:col>14</xdr:col>
      <xdr:colOff>55245</xdr:colOff>
      <xdr:row>28</xdr:row>
      <xdr:rowOff>819150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39E0BB02-BBC5-4E4A-B793-20265D8F3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8333" b="17333"/>
        <a:stretch/>
      </xdr:blipFill>
      <xdr:spPr>
        <a:xfrm>
          <a:off x="4907280" y="8450580"/>
          <a:ext cx="156210" cy="116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abSelected="1" view="pageBreakPreview" zoomScaleNormal="100" zoomScaleSheetLayoutView="100" zoomScalePageLayoutView="70" workbookViewId="0">
      <selection activeCell="Y19" sqref="Y19"/>
    </sheetView>
  </sheetViews>
  <sheetFormatPr defaultRowHeight="12.75"/>
  <cols>
    <col min="1" max="1" width="8.83203125" style="8"/>
    <col min="2" max="2" width="6.33203125" customWidth="1"/>
    <col min="3" max="3" width="15.1640625" customWidth="1"/>
    <col min="4" max="4" width="2.1640625" customWidth="1"/>
    <col min="5" max="5" width="4.6640625" customWidth="1"/>
    <col min="6" max="6" width="3.83203125" customWidth="1"/>
    <col min="7" max="7" width="2.1640625" customWidth="1"/>
    <col min="8" max="8" width="10.5" customWidth="1"/>
    <col min="9" max="9" width="5.83203125" customWidth="1"/>
    <col min="10" max="10" width="1.1640625" customWidth="1"/>
    <col min="11" max="11" width="0.83203125" customWidth="1"/>
    <col min="12" max="12" width="5.1640625" customWidth="1"/>
    <col min="13" max="13" width="3.33203125" customWidth="1"/>
    <col min="14" max="14" width="2.1640625" customWidth="1"/>
    <col min="15" max="15" width="3.33203125" customWidth="1"/>
    <col min="16" max="16" width="11.5" customWidth="1"/>
    <col min="17" max="17" width="3.33203125" customWidth="1"/>
    <col min="18" max="18" width="6.83203125" customWidth="1"/>
    <col min="19" max="19" width="15" customWidth="1"/>
    <col min="20" max="20" width="15.1640625" customWidth="1"/>
    <col min="21" max="21" width="6.33203125" customWidth="1"/>
    <col min="22" max="22" width="8.83203125" style="8"/>
  </cols>
  <sheetData>
    <row r="1" spans="2:21" s="8" customFormat="1"/>
    <row r="2" spans="2:21" ht="36" customHeight="1">
      <c r="B2" s="10"/>
      <c r="D2" s="12"/>
      <c r="E2" s="12"/>
      <c r="F2" s="12"/>
      <c r="G2" s="12"/>
      <c r="H2" s="12"/>
      <c r="I2" s="12"/>
      <c r="J2" s="12"/>
      <c r="L2" s="111">
        <f>C5</f>
        <v>46092</v>
      </c>
      <c r="M2" s="111"/>
      <c r="N2" s="111"/>
      <c r="O2" s="111"/>
      <c r="P2" s="111"/>
      <c r="Q2" s="111"/>
      <c r="R2" s="111"/>
      <c r="S2" s="111"/>
      <c r="T2" s="19">
        <v>1</v>
      </c>
      <c r="U2" s="10"/>
    </row>
    <row r="3" spans="2:21" ht="49.9" customHeight="1">
      <c r="B3" s="10"/>
      <c r="C3" s="40" t="s">
        <v>38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11"/>
    </row>
    <row r="4" spans="2:21" ht="36" customHeight="1">
      <c r="B4" s="10"/>
      <c r="C4" s="49" t="s">
        <v>52</v>
      </c>
      <c r="D4" s="49"/>
      <c r="E4" s="49"/>
      <c r="F4" s="49"/>
      <c r="G4" s="49"/>
      <c r="H4" s="49"/>
      <c r="I4" s="49"/>
      <c r="J4" s="49"/>
      <c r="K4" s="49"/>
      <c r="L4" s="16"/>
      <c r="M4" s="16"/>
      <c r="N4" s="16"/>
      <c r="O4" s="16"/>
      <c r="P4" s="16"/>
      <c r="Q4" s="16"/>
      <c r="R4" s="16"/>
      <c r="S4" s="16"/>
      <c r="T4" s="16"/>
      <c r="U4" s="11"/>
    </row>
    <row r="5" spans="2:21" ht="20.45" customHeight="1">
      <c r="B5" s="10"/>
      <c r="C5" s="39">
        <v>46092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11"/>
    </row>
    <row r="6" spans="2:21" ht="20.45" customHeight="1">
      <c r="B6" s="10"/>
      <c r="C6" s="38" t="s">
        <v>37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11"/>
    </row>
    <row r="7" spans="2:21" ht="10.9" customHeight="1">
      <c r="B7" s="10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1"/>
    </row>
    <row r="8" spans="2:21" ht="5.25" customHeight="1">
      <c r="B8" s="10"/>
      <c r="C8" s="21" t="s">
        <v>0</v>
      </c>
      <c r="D8" s="22"/>
      <c r="E8" s="22"/>
      <c r="F8" s="22"/>
      <c r="G8" s="22"/>
      <c r="H8" s="22"/>
      <c r="I8" s="22"/>
      <c r="J8" s="22"/>
      <c r="K8" s="22"/>
      <c r="L8" s="23"/>
      <c r="M8" s="6"/>
      <c r="N8" s="6"/>
      <c r="O8" s="42" t="s">
        <v>1</v>
      </c>
      <c r="P8" s="42"/>
      <c r="Q8" s="42"/>
      <c r="R8" s="42"/>
      <c r="S8" s="42"/>
      <c r="T8" s="42"/>
      <c r="U8" s="10"/>
    </row>
    <row r="9" spans="2:21" ht="15" customHeight="1">
      <c r="B9" s="10"/>
      <c r="C9" s="24"/>
      <c r="D9" s="25"/>
      <c r="E9" s="25"/>
      <c r="F9" s="25"/>
      <c r="G9" s="25"/>
      <c r="H9" s="25"/>
      <c r="I9" s="25"/>
      <c r="J9" s="25"/>
      <c r="K9" s="25"/>
      <c r="L9" s="26"/>
      <c r="M9" s="7"/>
      <c r="N9" s="7"/>
      <c r="O9" s="42"/>
      <c r="P9" s="42"/>
      <c r="Q9" s="42"/>
      <c r="R9" s="42"/>
      <c r="S9" s="42"/>
      <c r="T9" s="42"/>
      <c r="U9" s="10"/>
    </row>
    <row r="10" spans="2:21" ht="31.15" customHeight="1">
      <c r="B10" s="10"/>
      <c r="C10" s="27" t="s">
        <v>35</v>
      </c>
      <c r="D10" s="28"/>
      <c r="E10" s="28"/>
      <c r="F10" s="29"/>
      <c r="G10" s="43" t="s">
        <v>73</v>
      </c>
      <c r="H10" s="31"/>
      <c r="I10" s="31"/>
      <c r="J10" s="31"/>
      <c r="K10" s="31"/>
      <c r="L10" s="32"/>
      <c r="M10" s="7"/>
      <c r="N10" s="7"/>
      <c r="O10" s="44" t="s">
        <v>41</v>
      </c>
      <c r="P10" s="44"/>
      <c r="Q10" s="44"/>
      <c r="R10" s="44"/>
      <c r="S10" s="45" t="s">
        <v>40</v>
      </c>
      <c r="T10" s="45"/>
      <c r="U10" s="10"/>
    </row>
    <row r="11" spans="2:21" ht="38.450000000000003" customHeight="1">
      <c r="B11" s="10"/>
      <c r="C11" s="27" t="s">
        <v>36</v>
      </c>
      <c r="D11" s="28"/>
      <c r="E11" s="28"/>
      <c r="F11" s="29"/>
      <c r="G11" s="30" t="s">
        <v>74</v>
      </c>
      <c r="H11" s="31"/>
      <c r="I11" s="31"/>
      <c r="J11" s="31"/>
      <c r="K11" s="31"/>
      <c r="L11" s="32"/>
      <c r="M11" s="7"/>
      <c r="N11" s="7"/>
      <c r="O11" s="44"/>
      <c r="P11" s="44"/>
      <c r="Q11" s="44"/>
      <c r="R11" s="44"/>
      <c r="S11" s="45"/>
      <c r="T11" s="45"/>
      <c r="U11" s="10"/>
    </row>
    <row r="12" spans="2:21" ht="31.9" customHeight="1">
      <c r="B12" s="10"/>
      <c r="C12" s="27" t="s">
        <v>2</v>
      </c>
      <c r="D12" s="33"/>
      <c r="E12" s="33"/>
      <c r="F12" s="34"/>
      <c r="G12" s="35" t="s">
        <v>75</v>
      </c>
      <c r="H12" s="36"/>
      <c r="I12" s="36"/>
      <c r="J12" s="36"/>
      <c r="K12" s="36"/>
      <c r="L12" s="37"/>
      <c r="M12" s="7"/>
      <c r="N12" s="7"/>
      <c r="O12" s="44"/>
      <c r="P12" s="44"/>
      <c r="Q12" s="44"/>
      <c r="R12" s="44"/>
      <c r="S12" s="45"/>
      <c r="T12" s="45"/>
      <c r="U12" s="10"/>
    </row>
    <row r="13" spans="2:21" ht="25.15" customHeight="1">
      <c r="B13" s="10"/>
      <c r="C13" s="46" t="s">
        <v>3</v>
      </c>
      <c r="D13" s="47"/>
      <c r="E13" s="47"/>
      <c r="F13" s="47"/>
      <c r="G13" s="47"/>
      <c r="H13" s="47"/>
      <c r="I13" s="47"/>
      <c r="J13" s="47"/>
      <c r="K13" s="47"/>
      <c r="L13" s="48"/>
      <c r="M13" s="7"/>
      <c r="N13" s="7"/>
      <c r="O13" s="44"/>
      <c r="P13" s="44"/>
      <c r="Q13" s="44"/>
      <c r="R13" s="44"/>
      <c r="S13" s="45"/>
      <c r="T13" s="45"/>
      <c r="U13" s="10"/>
    </row>
    <row r="14" spans="2:21" ht="25.9" customHeight="1">
      <c r="B14" s="10"/>
      <c r="C14" s="27" t="s">
        <v>4</v>
      </c>
      <c r="D14" s="33"/>
      <c r="E14" s="33"/>
      <c r="F14" s="34"/>
      <c r="G14" s="50"/>
      <c r="H14" s="31"/>
      <c r="I14" s="31"/>
      <c r="J14" s="31"/>
      <c r="K14" s="31"/>
      <c r="L14" s="32"/>
      <c r="M14" s="7"/>
      <c r="N14" s="7"/>
      <c r="O14" s="51" t="s">
        <v>5</v>
      </c>
      <c r="P14" s="52"/>
      <c r="Q14" s="52"/>
      <c r="R14" s="53"/>
      <c r="S14" s="54" t="s">
        <v>6</v>
      </c>
      <c r="T14" s="55"/>
      <c r="U14" s="10"/>
    </row>
    <row r="15" spans="2:21" ht="25.9" customHeight="1">
      <c r="B15" s="10"/>
      <c r="C15" s="27" t="s">
        <v>7</v>
      </c>
      <c r="D15" s="33"/>
      <c r="E15" s="33"/>
      <c r="F15" s="34"/>
      <c r="G15" s="56" t="str">
        <f>IF(G14&gt;0,VLOOKUP(G14,#REF!,2,FALSE)," ")</f>
        <v xml:space="preserve"> </v>
      </c>
      <c r="H15" s="28"/>
      <c r="I15" s="28"/>
      <c r="J15" s="28"/>
      <c r="K15" s="28"/>
      <c r="L15" s="29"/>
      <c r="M15" s="7"/>
      <c r="N15" s="7"/>
      <c r="O15" s="27" t="s">
        <v>8</v>
      </c>
      <c r="P15" s="33"/>
      <c r="Q15" s="33"/>
      <c r="R15" s="34"/>
      <c r="S15" s="57" t="s">
        <v>9</v>
      </c>
      <c r="T15" s="58"/>
      <c r="U15" s="10"/>
    </row>
    <row r="16" spans="2:21" ht="27.6" customHeight="1">
      <c r="B16" s="10"/>
      <c r="C16" s="27" t="s">
        <v>10</v>
      </c>
      <c r="D16" s="33"/>
      <c r="E16" s="33"/>
      <c r="F16" s="34"/>
      <c r="G16" s="56" t="str">
        <f>IF(G14&gt;0,VLOOKUP(G15,#REF!,3,FALSE)," ")</f>
        <v xml:space="preserve"> </v>
      </c>
      <c r="H16" s="28"/>
      <c r="I16" s="28"/>
      <c r="J16" s="28"/>
      <c r="K16" s="28"/>
      <c r="L16" s="29"/>
      <c r="M16" s="7"/>
      <c r="N16" s="7"/>
      <c r="O16" s="27" t="s">
        <v>11</v>
      </c>
      <c r="P16" s="33"/>
      <c r="Q16" s="33"/>
      <c r="R16" s="34"/>
      <c r="S16" s="57" t="s">
        <v>12</v>
      </c>
      <c r="T16" s="58"/>
      <c r="U16" s="10"/>
    </row>
    <row r="17" spans="2:21" ht="9" customHeight="1">
      <c r="B17" s="10"/>
      <c r="C17" s="7"/>
      <c r="D17" s="7"/>
      <c r="E17" s="62"/>
      <c r="F17" s="62"/>
      <c r="G17" s="7"/>
      <c r="H17" s="7"/>
      <c r="I17" s="7"/>
      <c r="J17" s="7"/>
      <c r="K17" s="62"/>
      <c r="L17" s="62"/>
      <c r="M17" s="7"/>
      <c r="N17" s="7"/>
      <c r="O17" s="7"/>
      <c r="P17" s="62"/>
      <c r="Q17" s="62"/>
      <c r="R17" s="7"/>
      <c r="S17" s="7"/>
      <c r="T17" s="7"/>
      <c r="U17" s="10"/>
    </row>
    <row r="18" spans="2:21" ht="16.5" customHeight="1">
      <c r="B18" s="10"/>
      <c r="C18" s="63" t="s">
        <v>13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5"/>
      <c r="U18" s="10"/>
    </row>
    <row r="19" spans="2:21" ht="16.899999999999999" customHeight="1">
      <c r="B19" s="10"/>
      <c r="C19" s="27" t="s">
        <v>54</v>
      </c>
      <c r="D19" s="33"/>
      <c r="E19" s="33"/>
      <c r="F19" s="33"/>
      <c r="G19" s="33"/>
      <c r="H19" s="33"/>
      <c r="I19" s="33"/>
      <c r="J19" s="33"/>
      <c r="K19" s="33"/>
      <c r="L19" s="33"/>
      <c r="M19" s="34"/>
      <c r="N19" s="59" t="s">
        <v>14</v>
      </c>
      <c r="O19" s="60"/>
      <c r="P19" s="60"/>
      <c r="Q19" s="60"/>
      <c r="R19" s="60"/>
      <c r="S19" s="60"/>
      <c r="T19" s="61"/>
      <c r="U19" s="10"/>
    </row>
    <row r="20" spans="2:21" ht="16.899999999999999" customHeight="1">
      <c r="B20" s="10"/>
      <c r="C20" s="27" t="s">
        <v>55</v>
      </c>
      <c r="D20" s="33"/>
      <c r="E20" s="33"/>
      <c r="F20" s="33"/>
      <c r="G20" s="33"/>
      <c r="H20" s="33"/>
      <c r="I20" s="33"/>
      <c r="J20" s="33"/>
      <c r="K20" s="33"/>
      <c r="L20" s="33"/>
      <c r="M20" s="34"/>
      <c r="N20" s="59" t="s">
        <v>39</v>
      </c>
      <c r="O20" s="60"/>
      <c r="P20" s="60"/>
      <c r="Q20" s="60"/>
      <c r="R20" s="60"/>
      <c r="S20" s="60"/>
      <c r="T20" s="61"/>
      <c r="U20" s="10"/>
    </row>
    <row r="21" spans="2:21" ht="16.899999999999999" customHeight="1">
      <c r="B21" s="10"/>
      <c r="C21" s="27" t="s">
        <v>56</v>
      </c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59" t="str">
        <f>G10</f>
        <v>MAGMA Kft.</v>
      </c>
      <c r="O21" s="60"/>
      <c r="P21" s="60"/>
      <c r="Q21" s="60"/>
      <c r="R21" s="60"/>
      <c r="S21" s="60"/>
      <c r="T21" s="61"/>
      <c r="U21" s="10"/>
    </row>
    <row r="22" spans="2:21" ht="16.899999999999999" customHeight="1">
      <c r="B22" s="10"/>
      <c r="C22" s="27" t="s">
        <v>57</v>
      </c>
      <c r="D22" s="33"/>
      <c r="E22" s="33"/>
      <c r="F22" s="33"/>
      <c r="G22" s="33"/>
      <c r="H22" s="33"/>
      <c r="I22" s="33"/>
      <c r="J22" s="33"/>
      <c r="K22" s="33"/>
      <c r="L22" s="33"/>
      <c r="M22" s="34"/>
      <c r="N22" s="59" t="str">
        <f>G11</f>
        <v>1211 Budapest, Déli utca 13.</v>
      </c>
      <c r="O22" s="60"/>
      <c r="P22" s="60"/>
      <c r="Q22" s="60"/>
      <c r="R22" s="60"/>
      <c r="S22" s="60"/>
      <c r="T22" s="61"/>
      <c r="U22" s="10"/>
    </row>
    <row r="23" spans="2:21" ht="16.899999999999999" customHeight="1">
      <c r="B23" s="10"/>
      <c r="C23" s="27" t="s">
        <v>15</v>
      </c>
      <c r="D23" s="33"/>
      <c r="E23" s="33"/>
      <c r="F23" s="33"/>
      <c r="G23" s="33"/>
      <c r="H23" s="33"/>
      <c r="I23" s="33"/>
      <c r="J23" s="33"/>
      <c r="K23" s="33"/>
      <c r="L23" s="33"/>
      <c r="M23" s="34"/>
      <c r="N23" s="66" t="str">
        <f>G12</f>
        <v>IIH-493</v>
      </c>
      <c r="O23" s="67"/>
      <c r="P23" s="67"/>
      <c r="Q23" s="67"/>
      <c r="R23" s="67"/>
      <c r="S23" s="67"/>
      <c r="T23" s="68"/>
      <c r="U23" s="10"/>
    </row>
    <row r="24" spans="2:21" ht="16.149999999999999" customHeight="1">
      <c r="B24" s="10"/>
      <c r="C24" s="27" t="s">
        <v>16</v>
      </c>
      <c r="D24" s="33"/>
      <c r="E24" s="33"/>
      <c r="F24" s="33"/>
      <c r="G24" s="33"/>
      <c r="H24" s="33"/>
      <c r="I24" s="33"/>
      <c r="J24" s="33"/>
      <c r="K24" s="33"/>
      <c r="L24" s="33"/>
      <c r="M24" s="34"/>
      <c r="N24" s="59" t="s">
        <v>48</v>
      </c>
      <c r="O24" s="60"/>
      <c r="P24" s="60"/>
      <c r="Q24" s="60"/>
      <c r="R24" s="60"/>
      <c r="S24" s="60"/>
      <c r="T24" s="61"/>
      <c r="U24" s="10"/>
    </row>
    <row r="25" spans="2:21" ht="17.649999999999999" customHeight="1">
      <c r="B25" s="10"/>
      <c r="C25" s="27" t="s">
        <v>17</v>
      </c>
      <c r="D25" s="33"/>
      <c r="E25" s="33"/>
      <c r="F25" s="33"/>
      <c r="G25" s="33"/>
      <c r="H25" s="33"/>
      <c r="I25" s="33"/>
      <c r="J25" s="33"/>
      <c r="K25" s="33"/>
      <c r="L25" s="33"/>
      <c r="M25" s="34"/>
      <c r="N25" s="59" t="s">
        <v>18</v>
      </c>
      <c r="O25" s="60"/>
      <c r="P25" s="60"/>
      <c r="Q25" s="60"/>
      <c r="R25" s="60"/>
      <c r="S25" s="60"/>
      <c r="T25" s="61"/>
      <c r="U25" s="10"/>
    </row>
    <row r="26" spans="2:21" ht="17.649999999999999" customHeight="1">
      <c r="B26" s="1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10"/>
    </row>
    <row r="27" spans="2:21" ht="23.65" customHeight="1">
      <c r="B27" s="10"/>
      <c r="C27" s="69" t="s">
        <v>19</v>
      </c>
      <c r="D27" s="69"/>
      <c r="E27" s="62"/>
      <c r="F27" s="62"/>
      <c r="G27" s="7"/>
      <c r="H27" s="70" t="s">
        <v>43</v>
      </c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</row>
    <row r="28" spans="2:21" ht="15" customHeight="1">
      <c r="B28" s="10"/>
      <c r="C28" s="69"/>
      <c r="D28" s="69"/>
      <c r="E28" s="62"/>
      <c r="F28" s="62"/>
      <c r="G28" s="7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</row>
    <row r="29" spans="2:21" ht="130.9" customHeight="1">
      <c r="B29" s="10"/>
      <c r="C29" s="71" t="s">
        <v>50</v>
      </c>
      <c r="D29" s="72"/>
      <c r="E29" s="72"/>
      <c r="F29" s="72"/>
      <c r="G29" s="72"/>
      <c r="H29" s="72"/>
      <c r="I29" s="72"/>
      <c r="J29" s="72"/>
      <c r="K29" s="73" t="s">
        <v>51</v>
      </c>
      <c r="L29" s="74"/>
      <c r="M29" s="74"/>
      <c r="N29" s="74"/>
      <c r="O29" s="74"/>
      <c r="P29" s="74"/>
      <c r="Q29" s="74"/>
      <c r="R29" s="74"/>
      <c r="S29" s="74"/>
      <c r="T29" s="74"/>
      <c r="U29" s="74"/>
    </row>
    <row r="30" spans="2:21" ht="15" customHeight="1">
      <c r="B30" s="10"/>
      <c r="C30" s="63" t="s">
        <v>20</v>
      </c>
      <c r="D30" s="64"/>
      <c r="E30" s="64"/>
      <c r="F30" s="64"/>
      <c r="G30" s="75"/>
      <c r="H30" s="75"/>
      <c r="I30" s="75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5"/>
      <c r="U30" s="10"/>
    </row>
    <row r="31" spans="2:21" ht="15" customHeight="1">
      <c r="B31" s="10"/>
      <c r="C31" s="76" t="s">
        <v>21</v>
      </c>
      <c r="D31" s="78" t="s">
        <v>22</v>
      </c>
      <c r="E31" s="79"/>
      <c r="F31" s="79"/>
      <c r="G31" s="45" t="s">
        <v>23</v>
      </c>
      <c r="H31" s="45"/>
      <c r="I31" s="45"/>
      <c r="J31" s="82" t="s">
        <v>24</v>
      </c>
      <c r="K31" s="82"/>
      <c r="L31" s="82"/>
      <c r="M31" s="82"/>
      <c r="N31" s="82"/>
      <c r="O31" s="82"/>
      <c r="P31" s="82"/>
      <c r="Q31" s="82"/>
      <c r="R31" s="82"/>
      <c r="S31" s="83"/>
      <c r="T31" s="76" t="s">
        <v>25</v>
      </c>
      <c r="U31" s="10"/>
    </row>
    <row r="32" spans="2:21" ht="37.15" customHeight="1">
      <c r="B32" s="10"/>
      <c r="C32" s="77"/>
      <c r="D32" s="80"/>
      <c r="E32" s="81"/>
      <c r="F32" s="81"/>
      <c r="G32" s="45"/>
      <c r="H32" s="45"/>
      <c r="I32" s="45"/>
      <c r="J32" s="84" t="s">
        <v>26</v>
      </c>
      <c r="K32" s="84"/>
      <c r="L32" s="84"/>
      <c r="M32" s="84"/>
      <c r="N32" s="84"/>
      <c r="O32" s="85"/>
      <c r="P32" s="86" t="s">
        <v>27</v>
      </c>
      <c r="Q32" s="87"/>
      <c r="R32" s="86" t="s">
        <v>42</v>
      </c>
      <c r="S32" s="87"/>
      <c r="T32" s="77"/>
      <c r="U32" s="10"/>
    </row>
    <row r="33" spans="2:21" ht="34.15" customHeight="1">
      <c r="B33" s="10"/>
      <c r="C33" s="20" t="s">
        <v>48</v>
      </c>
      <c r="D33" s="108" t="str">
        <f>IF($J33&gt;0,VLOOKUP($J33,'Specifikáció segédlet'!A:C,3,FALSE),"")</f>
        <v>15 01 01</v>
      </c>
      <c r="E33" s="109"/>
      <c r="F33" s="110"/>
      <c r="G33" s="103" t="str">
        <f>IF($J33&gt;0,VLOOKUP($J33,'Specifikáció segédlet'!A:C,2,FALSE),"")</f>
        <v>Papír és karton csomagolás hulladéka (EPR)</v>
      </c>
      <c r="H33" s="104"/>
      <c r="I33" s="104"/>
      <c r="J33" s="96" t="s">
        <v>70</v>
      </c>
      <c r="K33" s="96"/>
      <c r="L33" s="96"/>
      <c r="M33" s="96"/>
      <c r="N33" s="96"/>
      <c r="O33" s="96"/>
      <c r="P33" s="97" t="s">
        <v>49</v>
      </c>
      <c r="Q33" s="98"/>
      <c r="R33" s="99" t="s">
        <v>48</v>
      </c>
      <c r="S33" s="98"/>
      <c r="T33" s="20"/>
      <c r="U33" s="10"/>
    </row>
    <row r="34" spans="2:21" ht="34.15" customHeight="1">
      <c r="B34" s="10"/>
      <c r="C34" s="9" t="str">
        <f>IF(J34&gt;0,"-","")</f>
        <v/>
      </c>
      <c r="D34" s="100" t="str">
        <f>IF($J34&gt;0,VLOOKUP($J34,'Specifikáció segédlet'!A:C,3,FALSE),"")</f>
        <v/>
      </c>
      <c r="E34" s="101"/>
      <c r="F34" s="102"/>
      <c r="G34" s="103" t="str">
        <f>IF($J34&gt;0,VLOOKUP($J34,'Specifikáció segédlet'!A:C,2,FALSE),"")</f>
        <v/>
      </c>
      <c r="H34" s="104"/>
      <c r="I34" s="104"/>
      <c r="J34" s="96"/>
      <c r="K34" s="96"/>
      <c r="L34" s="96"/>
      <c r="M34" s="96"/>
      <c r="N34" s="96"/>
      <c r="O34" s="96"/>
      <c r="P34" s="105" t="str">
        <f>IF(J34&gt;0,"ömlesztett","")</f>
        <v/>
      </c>
      <c r="Q34" s="106"/>
      <c r="R34" s="107"/>
      <c r="S34" s="106"/>
      <c r="T34" s="15"/>
      <c r="U34" s="10"/>
    </row>
    <row r="35" spans="2:21" ht="34.15" customHeight="1">
      <c r="B35" s="10"/>
      <c r="C35" s="9" t="str">
        <f>IF(J35&gt;0,"-","")</f>
        <v/>
      </c>
      <c r="D35" s="100" t="str">
        <f>IF($J35&gt;0,VLOOKUP($J35,'Specifikáció segédlet'!A:C,3,FALSE),"")</f>
        <v/>
      </c>
      <c r="E35" s="101"/>
      <c r="F35" s="102"/>
      <c r="G35" s="103" t="str">
        <f>IF($J35&gt;0,VLOOKUP($J35,'Specifikáció segédlet'!A:C,2,FALSE),"")</f>
        <v/>
      </c>
      <c r="H35" s="104"/>
      <c r="I35" s="104"/>
      <c r="J35" s="96"/>
      <c r="K35" s="96"/>
      <c r="L35" s="96"/>
      <c r="M35" s="96"/>
      <c r="N35" s="96"/>
      <c r="O35" s="96"/>
      <c r="P35" s="105" t="str">
        <f>IF(J35&gt;0,"ömlesztett","")</f>
        <v/>
      </c>
      <c r="Q35" s="106"/>
      <c r="R35" s="107"/>
      <c r="S35" s="106"/>
      <c r="T35" s="15"/>
      <c r="U35" s="10"/>
    </row>
    <row r="36" spans="2:21" ht="36" customHeight="1">
      <c r="B36" s="10"/>
      <c r="D36" s="12"/>
      <c r="E36" s="12"/>
      <c r="F36" s="12"/>
      <c r="G36" s="12"/>
      <c r="H36" s="12"/>
      <c r="I36" s="12"/>
      <c r="J36" s="12"/>
      <c r="K36" s="115">
        <f>L2</f>
        <v>46092</v>
      </c>
      <c r="L36" s="115"/>
      <c r="M36" s="115"/>
      <c r="N36" s="115"/>
      <c r="O36" s="115"/>
      <c r="P36" s="115"/>
      <c r="Q36" s="115"/>
      <c r="R36" s="115"/>
      <c r="S36" s="115"/>
      <c r="T36" s="13">
        <f>T2</f>
        <v>1</v>
      </c>
      <c r="U36" s="10"/>
    </row>
    <row r="37" spans="2:21" ht="49.9" customHeight="1">
      <c r="B37" s="10"/>
      <c r="C37" s="40" t="s">
        <v>38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11"/>
    </row>
    <row r="38" spans="2:21" ht="36" customHeight="1">
      <c r="B38" s="10"/>
      <c r="C38" s="49" t="s">
        <v>52</v>
      </c>
      <c r="D38" s="49"/>
      <c r="E38" s="49"/>
      <c r="F38" s="49"/>
      <c r="G38" s="49"/>
      <c r="H38" s="49"/>
      <c r="I38" s="49"/>
      <c r="J38" s="49"/>
      <c r="K38" s="49"/>
      <c r="L38" s="16"/>
      <c r="M38" s="16"/>
      <c r="N38" s="16"/>
      <c r="O38" s="16"/>
      <c r="P38" s="16"/>
      <c r="Q38" s="16"/>
      <c r="R38" s="16"/>
      <c r="S38" s="16"/>
      <c r="T38" s="16"/>
      <c r="U38" s="11"/>
    </row>
    <row r="39" spans="2:21" ht="12.6" customHeight="1">
      <c r="B39" s="10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11"/>
    </row>
    <row r="40" spans="2:21" ht="16.899999999999999" customHeight="1">
      <c r="B40" s="10"/>
      <c r="C40" s="120"/>
      <c r="D40" s="120"/>
      <c r="E40" s="120"/>
      <c r="F40" s="125" t="s">
        <v>28</v>
      </c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64" t="s">
        <v>29</v>
      </c>
      <c r="R40" s="64"/>
      <c r="S40" s="64"/>
      <c r="T40" s="65"/>
      <c r="U40" s="10"/>
    </row>
    <row r="41" spans="2:21" ht="94.9" customHeight="1">
      <c r="B41" s="10"/>
      <c r="C41" s="27" t="s">
        <v>59</v>
      </c>
      <c r="D41" s="33"/>
      <c r="E41" s="34"/>
      <c r="F41" s="88" t="str">
        <f>G10</f>
        <v>MAGMA Kft.</v>
      </c>
      <c r="G41" s="89"/>
      <c r="H41" s="89"/>
      <c r="I41" s="89"/>
      <c r="J41" s="89"/>
      <c r="K41" s="89"/>
      <c r="L41" s="89"/>
      <c r="M41" s="89"/>
      <c r="N41" s="89"/>
      <c r="O41" s="89"/>
      <c r="P41" s="90"/>
      <c r="Q41" s="91"/>
      <c r="R41" s="92"/>
      <c r="S41" s="92"/>
      <c r="T41" s="93"/>
      <c r="U41" s="10"/>
    </row>
    <row r="42" spans="2:21" ht="94.9" customHeight="1">
      <c r="B42" s="10"/>
      <c r="C42" s="27" t="s">
        <v>53</v>
      </c>
      <c r="D42" s="33"/>
      <c r="E42" s="34"/>
      <c r="F42" s="43" t="s">
        <v>40</v>
      </c>
      <c r="G42" s="94"/>
      <c r="H42" s="94"/>
      <c r="I42" s="94"/>
      <c r="J42" s="94"/>
      <c r="K42" s="94"/>
      <c r="L42" s="94"/>
      <c r="M42" s="94"/>
      <c r="N42" s="94"/>
      <c r="O42" s="94"/>
      <c r="P42" s="95"/>
      <c r="Q42" s="56"/>
      <c r="R42" s="28"/>
      <c r="S42" s="28"/>
      <c r="T42" s="29"/>
      <c r="U42" s="10"/>
    </row>
    <row r="43" spans="2:21" ht="22.9" customHeight="1">
      <c r="B43" s="10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10"/>
    </row>
    <row r="44" spans="2:21" ht="16.5" customHeight="1">
      <c r="B44" s="10"/>
      <c r="C44" s="116"/>
      <c r="D44" s="116"/>
      <c r="E44" s="116"/>
      <c r="F44" s="116"/>
      <c r="G44" s="116"/>
      <c r="H44" s="116"/>
      <c r="I44" s="116"/>
      <c r="J44" s="116"/>
      <c r="K44" s="116"/>
      <c r="L44" s="120"/>
      <c r="M44" s="120"/>
      <c r="N44" s="120"/>
      <c r="O44" s="120"/>
      <c r="P44" s="121"/>
      <c r="Q44" s="63" t="s">
        <v>30</v>
      </c>
      <c r="R44" s="64"/>
      <c r="S44" s="64"/>
      <c r="T44" s="65"/>
      <c r="U44" s="10"/>
    </row>
    <row r="45" spans="2:21" ht="16.899999999999999" customHeight="1">
      <c r="B45" s="10"/>
      <c r="C45" s="116"/>
      <c r="D45" s="116"/>
      <c r="E45" s="116"/>
      <c r="F45" s="116"/>
      <c r="G45" s="116"/>
      <c r="H45" s="116"/>
      <c r="I45" s="116"/>
      <c r="J45" s="116"/>
      <c r="K45" s="116"/>
      <c r="L45" s="27" t="s">
        <v>31</v>
      </c>
      <c r="M45" s="33"/>
      <c r="N45" s="33"/>
      <c r="O45" s="33"/>
      <c r="P45" s="34"/>
      <c r="Q45" s="122">
        <f>Q46</f>
        <v>46092</v>
      </c>
      <c r="R45" s="123"/>
      <c r="S45" s="123"/>
      <c r="T45" s="124"/>
      <c r="U45" s="10"/>
    </row>
    <row r="46" spans="2:21" ht="17.649999999999999" customHeight="1">
      <c r="B46" s="10"/>
      <c r="C46" s="116"/>
      <c r="D46" s="116"/>
      <c r="E46" s="116"/>
      <c r="F46" s="116"/>
      <c r="G46" s="116"/>
      <c r="H46" s="116"/>
      <c r="I46" s="116"/>
      <c r="J46" s="116"/>
      <c r="K46" s="116"/>
      <c r="L46" s="27" t="s">
        <v>32</v>
      </c>
      <c r="M46" s="33"/>
      <c r="N46" s="33"/>
      <c r="O46" s="33"/>
      <c r="P46" s="34"/>
      <c r="Q46" s="117">
        <f>C5</f>
        <v>46092</v>
      </c>
      <c r="R46" s="118"/>
      <c r="S46" s="118"/>
      <c r="T46" s="119"/>
      <c r="U46" s="10"/>
    </row>
    <row r="47" spans="2:21" ht="34.9" customHeight="1">
      <c r="B47" s="114" t="s">
        <v>33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</row>
    <row r="48" spans="2:21" ht="60" customHeight="1">
      <c r="B48" s="113" t="s">
        <v>34</v>
      </c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</row>
    <row r="49" spans="2:21" ht="308.45" customHeight="1">
      <c r="B49" s="112" t="s">
        <v>44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</row>
    <row r="50" spans="2:21">
      <c r="B50" s="14" t="s">
        <v>45</v>
      </c>
    </row>
  </sheetData>
  <customSheetViews>
    <customSheetView guid="{DB707B7D-E1CE-4E55-B0B7-717385AF7E44}" showPageBreaks="1" fitToPage="1" view="pageLayout">
      <selection activeCell="U33" sqref="U33"/>
      <pageMargins left="0.25" right="0.25" top="0.75" bottom="0.75" header="0.3" footer="0.3"/>
      <pageSetup paperSize="9" scale="64" fitToHeight="0" orientation="portrait" r:id="rId1"/>
    </customSheetView>
  </customSheetViews>
  <mergeCells count="107">
    <mergeCell ref="L2:S2"/>
    <mergeCell ref="B49:U49"/>
    <mergeCell ref="B48:U48"/>
    <mergeCell ref="B47:U47"/>
    <mergeCell ref="C37:T37"/>
    <mergeCell ref="K36:S36"/>
    <mergeCell ref="C46:E46"/>
    <mergeCell ref="F46:K46"/>
    <mergeCell ref="L46:P46"/>
    <mergeCell ref="Q46:T46"/>
    <mergeCell ref="C44:E44"/>
    <mergeCell ref="F44:K44"/>
    <mergeCell ref="L44:P44"/>
    <mergeCell ref="Q44:T44"/>
    <mergeCell ref="C45:E45"/>
    <mergeCell ref="F45:K45"/>
    <mergeCell ref="L45:P45"/>
    <mergeCell ref="Q45:T45"/>
    <mergeCell ref="C43:E43"/>
    <mergeCell ref="F43:K43"/>
    <mergeCell ref="L43:P43"/>
    <mergeCell ref="Q43:T43"/>
    <mergeCell ref="C40:E40"/>
    <mergeCell ref="F40:P40"/>
    <mergeCell ref="Q40:T40"/>
    <mergeCell ref="C41:E41"/>
    <mergeCell ref="F41:P41"/>
    <mergeCell ref="Q41:T41"/>
    <mergeCell ref="C42:E42"/>
    <mergeCell ref="F42:P42"/>
    <mergeCell ref="Q42:T42"/>
    <mergeCell ref="J33:O33"/>
    <mergeCell ref="P33:Q33"/>
    <mergeCell ref="R33:S33"/>
    <mergeCell ref="D34:F34"/>
    <mergeCell ref="G34:I34"/>
    <mergeCell ref="J34:O34"/>
    <mergeCell ref="P34:Q34"/>
    <mergeCell ref="R34:S34"/>
    <mergeCell ref="D33:F33"/>
    <mergeCell ref="G33:I33"/>
    <mergeCell ref="D35:F35"/>
    <mergeCell ref="G35:I35"/>
    <mergeCell ref="J35:O35"/>
    <mergeCell ref="P35:Q35"/>
    <mergeCell ref="R35:S35"/>
    <mergeCell ref="C38:K38"/>
    <mergeCell ref="C29:J29"/>
    <mergeCell ref="K29:U29"/>
    <mergeCell ref="C30:T30"/>
    <mergeCell ref="C31:C32"/>
    <mergeCell ref="D31:F32"/>
    <mergeCell ref="G31:I32"/>
    <mergeCell ref="J31:S31"/>
    <mergeCell ref="T31:T32"/>
    <mergeCell ref="J32:O32"/>
    <mergeCell ref="P32:Q32"/>
    <mergeCell ref="R32:S32"/>
    <mergeCell ref="C24:M24"/>
    <mergeCell ref="N24:T24"/>
    <mergeCell ref="C25:M25"/>
    <mergeCell ref="N25:T25"/>
    <mergeCell ref="E27:F27"/>
    <mergeCell ref="E28:F28"/>
    <mergeCell ref="E17:F17"/>
    <mergeCell ref="K17:L17"/>
    <mergeCell ref="P17:Q17"/>
    <mergeCell ref="C18:T18"/>
    <mergeCell ref="C21:M21"/>
    <mergeCell ref="N21:T21"/>
    <mergeCell ref="C22:M22"/>
    <mergeCell ref="N22:T22"/>
    <mergeCell ref="C23:M23"/>
    <mergeCell ref="N23:T23"/>
    <mergeCell ref="C27:D28"/>
    <mergeCell ref="H27:U28"/>
    <mergeCell ref="C19:M19"/>
    <mergeCell ref="N19:T19"/>
    <mergeCell ref="C20:M20"/>
    <mergeCell ref="N20:T20"/>
    <mergeCell ref="C14:F14"/>
    <mergeCell ref="G14:L14"/>
    <mergeCell ref="O14:R14"/>
    <mergeCell ref="S14:T14"/>
    <mergeCell ref="C15:F15"/>
    <mergeCell ref="G15:L15"/>
    <mergeCell ref="O15:R15"/>
    <mergeCell ref="S15:T15"/>
    <mergeCell ref="C16:F16"/>
    <mergeCell ref="G16:L16"/>
    <mergeCell ref="O16:R16"/>
    <mergeCell ref="S16:T16"/>
    <mergeCell ref="C8:L9"/>
    <mergeCell ref="C11:F11"/>
    <mergeCell ref="G11:L11"/>
    <mergeCell ref="C12:F12"/>
    <mergeCell ref="G12:L12"/>
    <mergeCell ref="C6:T6"/>
    <mergeCell ref="C5:T5"/>
    <mergeCell ref="C3:T3"/>
    <mergeCell ref="O8:T9"/>
    <mergeCell ref="C10:F10"/>
    <mergeCell ref="G10:L10"/>
    <mergeCell ref="O10:R13"/>
    <mergeCell ref="S10:T13"/>
    <mergeCell ref="C13:L13"/>
    <mergeCell ref="C4:K4"/>
  </mergeCells>
  <printOptions horizontalCentered="1" verticalCentered="1"/>
  <pageMargins left="0.25" right="0.25" top="0.75" bottom="0.75" header="0.3" footer="0.3"/>
  <pageSetup paperSize="9" scale="81" fitToHeight="0" orientation="portrait" r:id="rId2"/>
  <rowBreaks count="1" manualBreakCount="1">
    <brk id="35" min="1" max="20" man="1"/>
  </rowBreak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'Specifikáció segédlet'!$A$3:$A$7</xm:f>
          </x14:formula1>
          <xm:sqref>J34:O35</xm:sqref>
        </x14:dataValidation>
        <x14:dataValidation type="list" allowBlank="1" showInputMessage="1" showErrorMessage="1" xr:uid="{00000000-0002-0000-0000-000001000000}">
          <x14:formula1>
            <xm:f>'Specifikáció segédlet'!$A:$A</xm:f>
          </x14:formula1>
          <xm:sqref>J33:O33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1" sqref="C1"/>
    </sheetView>
  </sheetViews>
  <sheetFormatPr defaultRowHeight="12.75"/>
  <cols>
    <col min="1" max="1" width="43.83203125" bestFit="1" customWidth="1"/>
    <col min="2" max="2" width="35.33203125" bestFit="1" customWidth="1"/>
    <col min="3" max="3" width="21.5" customWidth="1"/>
  </cols>
  <sheetData>
    <row r="1" spans="1:3">
      <c r="A1" s="18" t="s">
        <v>60</v>
      </c>
      <c r="B1" s="18" t="s">
        <v>61</v>
      </c>
      <c r="C1" s="18" t="s">
        <v>62</v>
      </c>
    </row>
    <row r="2" spans="1:3">
      <c r="A2" s="17" t="s">
        <v>72</v>
      </c>
      <c r="B2" t="s">
        <v>47</v>
      </c>
      <c r="C2" t="s">
        <v>46</v>
      </c>
    </row>
    <row r="3" spans="1:3">
      <c r="A3" t="s">
        <v>58</v>
      </c>
      <c r="B3" t="s">
        <v>47</v>
      </c>
      <c r="C3" t="s">
        <v>46</v>
      </c>
    </row>
    <row r="4" spans="1:3">
      <c r="A4" t="s">
        <v>71</v>
      </c>
      <c r="B4" t="s">
        <v>47</v>
      </c>
      <c r="C4" t="s">
        <v>46</v>
      </c>
    </row>
    <row r="5" spans="1:3">
      <c r="A5" s="17" t="s">
        <v>70</v>
      </c>
      <c r="B5" t="s">
        <v>68</v>
      </c>
      <c r="C5" s="17" t="s">
        <v>69</v>
      </c>
    </row>
    <row r="6" spans="1:3">
      <c r="A6" t="s">
        <v>63</v>
      </c>
      <c r="B6" t="s">
        <v>64</v>
      </c>
      <c r="C6" t="s">
        <v>65</v>
      </c>
    </row>
    <row r="7" spans="1:3">
      <c r="A7" s="17" t="s">
        <v>66</v>
      </c>
      <c r="B7" t="s">
        <v>67</v>
      </c>
      <c r="C7" t="s">
        <v>65</v>
      </c>
    </row>
  </sheetData>
  <autoFilter ref="A1:C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Szállítólevél</vt:lpstr>
      <vt:lpstr>Specifikáció segédlet</vt:lpstr>
      <vt:lpstr>Szállítólevél!Nyomtatási_terület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FLORA HUNGARIA Kft., Szigetszentmiklós</dc:title>
  <dc:creator>eniko.varszegi</dc:creator>
  <cp:lastModifiedBy>Csaba Gyenes</cp:lastModifiedBy>
  <cp:lastPrinted>2025-09-03T09:19:25Z</cp:lastPrinted>
  <dcterms:created xsi:type="dcterms:W3CDTF">2023-07-03T09:38:04Z</dcterms:created>
  <dcterms:modified xsi:type="dcterms:W3CDTF">2026-03-06T10:09:28Z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2023-07-03T00:00:00Z</vt:filetime>
  </property>
  <property fmtid="{D5CDD505-2E9C-101B-9397-08002B2CF9AE}" pid="3" name="LastSaved">
    <vt:filetime>2023-07-03T00:00:00Z</vt:filetime>
  </property>
  <property fmtid="{D5CDD505-2E9C-101B-9397-08002B2CF9AE}" pid="4" name="Producer">
    <vt:lpwstr>Microsoft: Print To PDF</vt:lpwstr>
  </property>
</Properties>
</file>